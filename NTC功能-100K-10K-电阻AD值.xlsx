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3905-10K-OK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<sst xmlns="http://schemas.openxmlformats.org/spreadsheetml/2006/main" count="18" uniqueCount="11">
  <si>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ad=VOL*R/(R_hw+R)*ad_max/VOL</t>
  </si>
  <si>
    <t>NTC检测保护温度（℃）</t>
  </si>
  <si>
    <t>valmax（V）(VOL)</t>
  </si>
  <si>
    <t>ad值(ad_max)</t>
  </si>
  <si>
    <t>硬件上拉电阻(R_hw)</t>
  </si>
  <si>
    <t>热敏电阻阻值(R)</t>
  </si>
  <si>
    <t>电压值（V）</t>
  </si>
  <si>
    <t>公式计算读值（ad）</t>
  </si>
  <si>
    <t>VOL*R/(R_hw+R)*ad_max/VOL</t>
  </si>
  <si>
    <t>杰理，B值3950，100K</t>
  </si>
  <si>
    <t>蓝讯，10K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</si>
</sst>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workbookViewId="0">
      <selection activeCell="J3" sqref="J3"/>
    </sheetView>
  </sheetViews>
  <sheetFormatPr defaultColWidth="9" defaultRowHeight="13.5" outlineLevelCol="6"/>
  <cols>
    <col min="1" max="1" width="24.4416666666667" style="1" customWidth="1"/>
    <col min="2" max="2" width="17.225" style="1" customWidth="1"/>
    <col min="3" max="3" width="23.5583333333333" style="1" customWidth="1"/>
    <col min="4" max="4" width="36.4416666666667" style="1" customWidth="1"/>
    <col min="5" max="6" width="17.225" style="1" customWidth="1"/>
    <col min="7" max="7" width="25.3333333333333" style="1" customWidth="1"/>
    <col min="8" max="16384" width="9" style="1"/>
  </cols>
  <sheetData>
    <row r="1" ht="55" customHeight="1" spans="1:7">
      <c r="A1" s="1" t="s">
        <v>0</v>
      </c>
    </row>
    <row r="2" ht="18" customHeight="1" spans="1:7">
      <c r="A2" s="2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4" t="s">
        <v>7</v>
      </c>
    </row>
    <row r="3" ht="18" customHeight="1" spans="1:7">
      <c r="A3" s="2">
        <v>45</v>
      </c>
      <c r="B3" s="5">
        <v>3.3</v>
      </c>
      <c r="C3" s="4">
        <v>1023</v>
      </c>
      <c r="D3" s="5">
        <v>100</v>
      </c>
      <c r="E3" s="5">
        <v>4.34</v>
      </c>
      <c r="F3" s="5">
        <f t="shared" ref="F3:F9" si="0">B3*E3/(D3+E3)</f>
        <v>0.137262794709603</v>
      </c>
      <c r="G3" s="1">
        <f>B3*E3/(D3+E3)*C3/B3</f>
        <v>42.551466359977</v>
      </c>
    </row>
    <row r="4" ht="18" customHeight="1" spans="1:7">
      <c r="A4" s="2">
        <v>-30</v>
      </c>
      <c r="B4" s="5">
        <v>3.3</v>
      </c>
      <c r="C4" s="4">
        <v>1023</v>
      </c>
      <c r="D4" s="5">
        <v>10</v>
      </c>
      <c r="E4" s="5">
        <v>187.44</v>
      </c>
      <c r="F4" s="5">
        <f t="shared" si="0"/>
        <v>3.13286061588331</v>
      </c>
      <c r="G4" s="1">
        <f t="shared" ref="G4:G9" si="1">B4*E4/(D4+E4)*C4/B4</f>
        <v>971.186790923825</v>
      </c>
    </row>
    <row r="5" ht="18" customHeight="1" spans="1:7">
      <c r="A5" s="2">
        <v>-10</v>
      </c>
      <c r="B5" s="5">
        <v>3.3</v>
      </c>
      <c r="C5" s="4">
        <v>1023</v>
      </c>
      <c r="D5" s="5">
        <v>10</v>
      </c>
      <c r="E5" s="5">
        <v>23.25</v>
      </c>
      <c r="F5" s="5">
        <f t="shared" si="0"/>
        <v>2.30751879699248</v>
      </c>
      <c r="G5" s="1">
        <f t="shared" si="1"/>
        <v>715.330827067669</v>
      </c>
    </row>
    <row r="6" ht="18" customHeight="1" spans="1:7">
      <c r="A6" s="1">
        <v>55</v>
      </c>
      <c r="B6" s="5">
        <v>3.3</v>
      </c>
      <c r="C6" s="4">
        <v>1023</v>
      </c>
      <c r="D6" s="5">
        <v>10</v>
      </c>
      <c r="E6" s="5">
        <v>2.96</v>
      </c>
      <c r="F6" s="5">
        <f t="shared" si="0"/>
        <v>0.753703703703704</v>
      </c>
      <c r="G6" s="1">
        <f t="shared" si="1"/>
        <v>233.648148148148</v>
      </c>
    </row>
    <row r="7" ht="18" customHeight="1" spans="1:7">
      <c r="A7" s="1">
        <v>-20</v>
      </c>
      <c r="B7" s="5">
        <v>3.3</v>
      </c>
      <c r="C7" s="4">
        <v>1023</v>
      </c>
      <c r="D7" s="5">
        <v>10</v>
      </c>
      <c r="E7" s="5">
        <v>101.02</v>
      </c>
      <c r="F7" s="5">
        <f t="shared" si="0"/>
        <v>3.00275626013331</v>
      </c>
      <c r="G7" s="1">
        <f t="shared" si="1"/>
        <v>930.854440641326</v>
      </c>
    </row>
    <row r="8" ht="18" customHeight="1" spans="1:7">
      <c r="A8" s="1">
        <v>-10</v>
      </c>
      <c r="B8" s="5">
        <v>3.3</v>
      </c>
      <c r="C8" s="1">
        <v>1023</v>
      </c>
      <c r="D8" s="5">
        <v>10</v>
      </c>
      <c r="E8" s="5">
        <v>56.8</v>
      </c>
      <c r="F8" s="5">
        <f t="shared" si="0"/>
        <v>2.8059880239521</v>
      </c>
      <c r="G8" s="1">
        <f t="shared" si="1"/>
        <v>869.85628742515</v>
      </c>
    </row>
    <row r="9" ht="18" customHeight="1" spans="1:7">
      <c r="B9" s="5">
        <v>3.3</v>
      </c>
      <c r="D9" s="5">
        <v>10</v>
      </c>
      <c r="E9" s="5"/>
      <c r="F9" s="5">
        <f t="shared" si="0"/>
        <v>0</v>
      </c>
      <c r="G9" s="1">
        <f t="shared" si="1"/>
        <v>0</v>
      </c>
    </row>
    <row r="10" ht="18" customHeight="1"/>
    <row r="11" ht="18" customHeight="1"/>
    <row r="14" spans="1:7">
      <c r="D14" s="1" t="s">
        <v>8</v>
      </c>
    </row>
    <row r="17" spans="1:7">
      <c r="A17" s="1" t="s">
        <v>9</v>
      </c>
    </row>
    <row r="18" ht="18" customHeight="1" spans="1:7">
      <c r="A18" s="2" t="s">
        <v>1</v>
      </c>
      <c r="B18" s="3" t="s">
        <v>2</v>
      </c>
      <c r="C18" s="4" t="s">
        <v>3</v>
      </c>
      <c r="D18" s="3" t="s">
        <v>4</v>
      </c>
      <c r="E18" s="3" t="s">
        <v>5</v>
      </c>
      <c r="F18" s="3" t="s">
        <v>6</v>
      </c>
      <c r="G18" s="4" t="s">
        <v>7</v>
      </c>
    </row>
    <row r="19" ht="18" customHeight="1" spans="1:7">
      <c r="A19" s="2">
        <v>0</v>
      </c>
      <c r="B19" s="5">
        <v>3.3</v>
      </c>
      <c r="C19" s="4">
        <v>1023</v>
      </c>
      <c r="D19" s="5">
        <v>100</v>
      </c>
      <c r="E19" s="5">
        <v>336.206</v>
      </c>
      <c r="F19" s="5">
        <f t="shared" ref="F19:F22" si="2">B19*E19/(D19+E19)</f>
        <v>2.54347670596003</v>
      </c>
      <c r="G19" s="1">
        <f t="shared" ref="G19:G22" si="3">B19*E19/(D19+E19)*C19/B19</f>
        <v>788.477778847609</v>
      </c>
    </row>
    <row r="20" ht="18" customHeight="1" spans="1:7">
      <c r="A20" s="2">
        <v>45</v>
      </c>
      <c r="B20" s="5">
        <v>3.3</v>
      </c>
      <c r="C20" s="4">
        <v>1023</v>
      </c>
      <c r="D20" s="5">
        <v>100</v>
      </c>
      <c r="E20" s="5">
        <v>43.48137</v>
      </c>
      <c r="F20" s="5">
        <f t="shared" si="2"/>
        <v>1.00004983922303</v>
      </c>
      <c r="G20" s="1">
        <f t="shared" si="3"/>
        <v>310.015450159139</v>
      </c>
    </row>
    <row r="21" ht="18" customHeight="1" spans="1:7">
      <c r="A21" s="2">
        <v>-10</v>
      </c>
      <c r="B21" s="5">
        <v>3.3</v>
      </c>
      <c r="C21" s="4">
        <v>1023</v>
      </c>
      <c r="D21" s="5">
        <v>100</v>
      </c>
      <c r="E21" s="5">
        <v>582.4571</v>
      </c>
      <c r="F21" s="5">
        <f t="shared" si="2"/>
        <v>2.81645312210833</v>
      </c>
      <c r="G21" s="1">
        <f t="shared" si="3"/>
        <v>873.100467853584</v>
      </c>
    </row>
    <row r="22" ht="18" customHeight="1" spans="1:7">
      <c r="A22" s="2">
        <v>55</v>
      </c>
      <c r="B22" s="5">
        <v>3.3</v>
      </c>
      <c r="C22" s="4">
        <v>1023</v>
      </c>
      <c r="D22" s="5">
        <v>100</v>
      </c>
      <c r="E22" s="5">
        <v>29.78436</v>
      </c>
      <c r="F22" s="5">
        <f t="shared" si="2"/>
        <v>0.757320743423938</v>
      </c>
      <c r="G22" s="1">
        <f t="shared" si="3"/>
        <v>234.769430461421</v>
      </c>
    </row>
    <row r="24" spans="1:7">
      <c r="A24" s="1" t="s">
        <v>10</v>
      </c>
    </row>
    <row r="25" ht="18" customHeight="1" spans="1:7">
      <c r="A25" s="2">
        <v>0</v>
      </c>
      <c r="B25" s="5">
        <v>3.3</v>
      </c>
      <c r="C25" s="4">
        <v>255</v>
      </c>
      <c r="D25" s="5">
        <v>10</v>
      </c>
      <c r="E25" s="5">
        <v>33.18</v>
      </c>
      <c r="F25" s="5">
        <f t="shared" ref="F25:F28" si="4">B25*E25/(D25+E25)</f>
        <v>2.535757295044</v>
      </c>
      <c r="G25" s="1">
        <f t="shared" ref="G25:G28" si="5">B25*E25/(D25+E25)*C25/B25</f>
        <v>195.944881889764</v>
      </c>
    </row>
    <row r="26" ht="18" customHeight="1" spans="1:7">
      <c r="A26" s="2">
        <v>45</v>
      </c>
      <c r="B26" s="5">
        <v>3.3</v>
      </c>
      <c r="C26" s="4">
        <v>255</v>
      </c>
      <c r="D26" s="5">
        <v>10</v>
      </c>
      <c r="E26" s="5">
        <v>4.34</v>
      </c>
      <c r="F26" s="5">
        <f t="shared" si="4"/>
        <v>0.998744769874477</v>
      </c>
      <c r="G26" s="1">
        <f t="shared" si="5"/>
        <v>77.1757322175732</v>
      </c>
    </row>
    <row r="27" ht="18" customHeight="1" spans="1:7">
      <c r="A27" s="2">
        <v>-10</v>
      </c>
      <c r="B27" s="5">
        <v>3.3</v>
      </c>
      <c r="C27" s="4">
        <v>255</v>
      </c>
      <c r="D27" s="5">
        <v>10</v>
      </c>
      <c r="E27" s="5">
        <v>56.8</v>
      </c>
      <c r="F27" s="5">
        <f t="shared" si="4"/>
        <v>2.8059880239521</v>
      </c>
      <c r="G27" s="1">
        <f t="shared" si="5"/>
        <v>216.826347305389</v>
      </c>
    </row>
    <row r="28" ht="18" customHeight="1" spans="1:7">
      <c r="A28" s="2">
        <v>55</v>
      </c>
      <c r="B28" s="5">
        <v>3.3</v>
      </c>
      <c r="C28" s="4">
        <v>255</v>
      </c>
      <c r="D28" s="5">
        <v>10</v>
      </c>
      <c r="E28" s="5">
        <v>2.96</v>
      </c>
      <c r="F28" s="5">
        <f t="shared" si="4"/>
        <v>0.753703703703704</v>
      </c>
      <c r="G28" s="1">
        <f t="shared" si="5"/>
        <v>58.2407407407407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3905-10K-OK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王福星</cp:lastModifiedBy>
  <dcterms:created xsi:type="dcterms:W3CDTF">2021-04-30T04:13:00Z</dcterms:created>
  <dcterms:modified xsi:type="dcterms:W3CDTF">2025-12-05T09:45:07Z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C1C02BC0C9794BECA7895E73D127D8E4</vt:lpwstr>
  </property>
  <property fmtid="{D5CDD505-2E9C-101B-9397-08002B2CF9AE}" pid="3" name="KSOProductBuildVer">
    <vt:lpwstr>2052-12.1.0.23542</vt:lpwstr>
  </property>
</Properties>
</file>